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槓桿試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<sst xmlns="http://schemas.openxmlformats.org/spreadsheetml/2006/main" count="30" uniqueCount="30">
  <si>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r>
      <rPr>
        <b val="true"/>
        <sz val="20"/>
        <color rgb="FFFFFFFF"/>
        <rFont val="Microsoft JhengHei"/>
        <family val="0"/>
        <charset val="1"/>
      </rPr>
      <t xml:space="preserve">FCN </t>
    </r>
    <r>
      <rPr>
        <b val="true"/>
        <sz val="20"/>
        <color rgb="FFFFFFFF"/>
        <rFont val="Noto Sans CJK SC"/>
        <family val="2"/>
      </rPr>
      <t xml:space="preserve">投資質借槓桿試算</t>
    </r>
  </si>
  <si>
    <t xml:space="preserve">渣打亞灣貴賓 ‧ 只需修改下方黃色欄位，右方數字與圖表會自動重算</t>
  </si>
  <si>
    <t xml:space="preserve">①  輸入條件（黃色欄位可自行修改）</t>
  </si>
  <si>
    <r>
      <rPr>
        <sz val="11"/>
        <color rgb="FF1B2B29"/>
        <rFont val="Noto Sans CJK SC"/>
        <family val="2"/>
      </rPr>
      <t xml:space="preserve">投入資金（</t>
    </r>
    <r>
      <rPr>
        <sz val="11"/>
        <color rgb="FF1B2B29"/>
        <rFont val="Microsoft JhengHei"/>
        <family val="0"/>
        <charset val="1"/>
      </rPr>
      <t xml:space="preserve">US$</t>
    </r>
    <r>
      <rPr>
        <sz val="11"/>
        <color rgb="FF1B2B29"/>
        <rFont val="Noto Sans CJK SC"/>
        <family val="2"/>
      </rPr>
      <t xml:space="preserve">）</t>
    </r>
  </si>
  <si>
    <r>
      <rPr>
        <sz val="11"/>
        <color rgb="FF1B2B29"/>
        <rFont val="Noto Sans CJK SC"/>
        <family val="2"/>
      </rPr>
      <t xml:space="preserve">渣打 </t>
    </r>
    <r>
      <rPr>
        <sz val="11"/>
        <color rgb="FF1B2B29"/>
        <rFont val="Microsoft JhengHei"/>
        <family val="0"/>
        <charset val="1"/>
      </rPr>
      <t xml:space="preserve">FCN </t>
    </r>
    <r>
      <rPr>
        <sz val="11"/>
        <color rgb="FF1B2B29"/>
        <rFont val="Noto Sans CJK SC"/>
        <family val="2"/>
      </rPr>
      <t xml:space="preserve">票面（</t>
    </r>
    <r>
      <rPr>
        <sz val="11"/>
        <color rgb="FF1B2B29"/>
        <rFont val="Microsoft JhengHei"/>
        <family val="0"/>
        <charset val="1"/>
      </rPr>
      <t xml:space="preserve">% / </t>
    </r>
    <r>
      <rPr>
        <sz val="11"/>
        <color rgb="FF1B2B29"/>
        <rFont val="Noto Sans CJK SC"/>
        <family val="2"/>
      </rPr>
      <t xml:space="preserve">年）</t>
    </r>
  </si>
  <si>
    <r>
      <rPr>
        <sz val="11"/>
        <color rgb="FF1B2B29"/>
        <rFont val="Noto Sans CJK SC"/>
        <family val="2"/>
      </rPr>
      <t xml:space="preserve">質借成數 </t>
    </r>
    <r>
      <rPr>
        <sz val="11"/>
        <color rgb="FF1B2B29"/>
        <rFont val="Microsoft JhengHei"/>
        <family val="0"/>
        <charset val="1"/>
      </rPr>
      <t xml:space="preserve">LTV</t>
    </r>
    <r>
      <rPr>
        <sz val="11"/>
        <color rgb="FF1B2B29"/>
        <rFont val="Noto Sans CJK SC"/>
        <family val="2"/>
      </rPr>
      <t xml:space="preserve">（</t>
    </r>
    <r>
      <rPr>
        <sz val="11"/>
        <color rgb="FF1B2B29"/>
        <rFont val="Microsoft JhengHei"/>
        <family val="0"/>
        <charset val="1"/>
      </rPr>
      <t xml:space="preserve">%</t>
    </r>
    <r>
      <rPr>
        <sz val="11"/>
        <color rgb="FF1B2B29"/>
        <rFont val="Noto Sans CJK SC"/>
        <family val="2"/>
      </rPr>
      <t xml:space="preserve">）</t>
    </r>
  </si>
  <si>
    <r>
      <rPr>
        <sz val="11"/>
        <color rgb="FF1B2B29"/>
        <rFont val="Noto Sans CJK SC"/>
        <family val="2"/>
      </rPr>
      <t xml:space="preserve">質借利率（</t>
    </r>
    <r>
      <rPr>
        <sz val="11"/>
        <color rgb="FF1B2B29"/>
        <rFont val="Microsoft JhengHei"/>
        <family val="0"/>
        <charset val="1"/>
      </rPr>
      <t xml:space="preserve">% / </t>
    </r>
    <r>
      <rPr>
        <sz val="11"/>
        <color rgb="FF1B2B29"/>
        <rFont val="Noto Sans CJK SC"/>
        <family val="2"/>
      </rPr>
      <t xml:space="preserve">年）</t>
    </r>
  </si>
  <si>
    <r>
      <rPr>
        <sz val="11"/>
        <color rgb="FF1B2B29"/>
        <rFont val="Noto Sans CJK SC"/>
        <family val="2"/>
      </rPr>
      <t xml:space="preserve">他行 </t>
    </r>
    <r>
      <rPr>
        <sz val="11"/>
        <color rgb="FF1B2B29"/>
        <rFont val="Microsoft JhengHei"/>
        <family val="0"/>
        <charset val="1"/>
      </rPr>
      <t xml:space="preserve">FCN </t>
    </r>
    <r>
      <rPr>
        <sz val="11"/>
        <color rgb="FF1B2B29"/>
        <rFont val="Noto Sans CJK SC"/>
        <family val="2"/>
      </rPr>
      <t xml:space="preserve">票面（</t>
    </r>
    <r>
      <rPr>
        <sz val="11"/>
        <color rgb="FF1B2B29"/>
        <rFont val="Microsoft JhengHei"/>
        <family val="0"/>
        <charset val="1"/>
      </rPr>
      <t xml:space="preserve">% / </t>
    </r>
    <r>
      <rPr>
        <sz val="11"/>
        <color rgb="FF1B2B29"/>
        <rFont val="Noto Sans CJK SC"/>
        <family val="2"/>
      </rPr>
      <t xml:space="preserve">年）</t>
    </r>
  </si>
  <si>
    <r>
      <rPr>
        <b val="true"/>
        <sz val="12"/>
        <color rgb="FFFFFFFF"/>
        <rFont val="Noto Sans CJK SC"/>
        <family val="2"/>
      </rPr>
      <t xml:space="preserve">②  渣打 — 加一層質借（僅借 </t>
    </r>
    <r>
      <rPr>
        <b val="true"/>
        <sz val="12"/>
        <color rgb="FFFFFFFF"/>
        <rFont val="Microsoft JhengHei"/>
        <family val="0"/>
        <charset val="1"/>
      </rPr>
      <t xml:space="preserve">1 </t>
    </r>
    <r>
      <rPr>
        <b val="true"/>
        <sz val="12"/>
        <color rgb="FFFFFFFF"/>
        <rFont val="Noto Sans CJK SC"/>
        <family val="2"/>
      </rPr>
      <t xml:space="preserve">次）</t>
    </r>
  </si>
  <si>
    <r>
      <rPr>
        <sz val="11"/>
        <color rgb="FF1B2B29"/>
        <rFont val="Noto Sans CJK SC"/>
        <family val="2"/>
      </rPr>
      <t xml:space="preserve">質借金額 </t>
    </r>
    <r>
      <rPr>
        <sz val="11"/>
        <color rgb="FF1B2B29"/>
        <rFont val="Microsoft JhengHei"/>
        <family val="0"/>
        <charset val="1"/>
      </rPr>
      <t xml:space="preserve">= </t>
    </r>
    <r>
      <rPr>
        <sz val="11"/>
        <color rgb="FF1B2B29"/>
        <rFont val="Noto Sans CJK SC"/>
        <family val="2"/>
      </rPr>
      <t xml:space="preserve">資金 </t>
    </r>
    <r>
      <rPr>
        <sz val="11"/>
        <color rgb="FF1B2B29"/>
        <rFont val="Microsoft JhengHei"/>
        <family val="0"/>
        <charset val="1"/>
      </rPr>
      <t xml:space="preserve">× </t>
    </r>
    <r>
      <rPr>
        <sz val="11"/>
        <color rgb="FF1B2B29"/>
        <rFont val="Noto Sans CJK SC"/>
        <family val="2"/>
      </rPr>
      <t xml:space="preserve">成數</t>
    </r>
  </si>
  <si>
    <r>
      <rPr>
        <sz val="11"/>
        <color rgb="FF1B2B29"/>
        <rFont val="Noto Sans CJK SC"/>
        <family val="2"/>
      </rPr>
      <t xml:space="preserve">本金配息 </t>
    </r>
    <r>
      <rPr>
        <sz val="11"/>
        <color rgb="FF1B2B29"/>
        <rFont val="Microsoft JhengHei"/>
        <family val="0"/>
        <charset val="1"/>
      </rPr>
      <t xml:space="preserve">= </t>
    </r>
    <r>
      <rPr>
        <sz val="11"/>
        <color rgb="FF1B2B29"/>
        <rFont val="Noto Sans CJK SC"/>
        <family val="2"/>
      </rPr>
      <t xml:space="preserve">資金 </t>
    </r>
    <r>
      <rPr>
        <sz val="11"/>
        <color rgb="FF1B2B29"/>
        <rFont val="Microsoft JhengHei"/>
        <family val="0"/>
        <charset val="1"/>
      </rPr>
      <t xml:space="preserve">× </t>
    </r>
    <r>
      <rPr>
        <sz val="11"/>
        <color rgb="FF1B2B29"/>
        <rFont val="Noto Sans CJK SC"/>
        <family val="2"/>
      </rPr>
      <t xml:space="preserve">渣打票面</t>
    </r>
  </si>
  <si>
    <r>
      <rPr>
        <sz val="11"/>
        <color rgb="FF1B2B29"/>
        <rFont val="Noto Sans CJK SC"/>
        <family val="2"/>
      </rPr>
      <t xml:space="preserve">質借加碼 </t>
    </r>
    <r>
      <rPr>
        <sz val="11"/>
        <color rgb="FF1B2B29"/>
        <rFont val="Microsoft JhengHei"/>
        <family val="0"/>
        <charset val="1"/>
      </rPr>
      <t xml:space="preserve">= </t>
    </r>
    <r>
      <rPr>
        <sz val="11"/>
        <color rgb="FF1B2B29"/>
        <rFont val="Noto Sans CJK SC"/>
        <family val="2"/>
      </rPr>
      <t xml:space="preserve">質借金額 </t>
    </r>
    <r>
      <rPr>
        <sz val="11"/>
        <color rgb="FF1B2B29"/>
        <rFont val="Microsoft JhengHei"/>
        <family val="0"/>
        <charset val="1"/>
      </rPr>
      <t xml:space="preserve">× </t>
    </r>
    <r>
      <rPr>
        <sz val="11"/>
        <color rgb="FF1B2B29"/>
        <rFont val="Noto Sans CJK SC"/>
        <family val="2"/>
      </rPr>
      <t xml:space="preserve">渣打票面</t>
    </r>
  </si>
  <si>
    <r>
      <rPr>
        <sz val="11"/>
        <color rgb="FF1B2B29"/>
        <rFont val="Noto Sans CJK SC"/>
        <family val="2"/>
      </rPr>
      <t xml:space="preserve">借款成本 </t>
    </r>
    <r>
      <rPr>
        <sz val="11"/>
        <color rgb="FF1B2B29"/>
        <rFont val="Microsoft JhengHei"/>
        <family val="0"/>
        <charset val="1"/>
      </rPr>
      <t xml:space="preserve">= </t>
    </r>
    <r>
      <rPr>
        <sz val="11"/>
        <color rgb="FF1B2B29"/>
        <rFont val="Noto Sans CJK SC"/>
        <family val="2"/>
      </rPr>
      <t xml:space="preserve">質借金額 </t>
    </r>
    <r>
      <rPr>
        <sz val="11"/>
        <color rgb="FF1B2B29"/>
        <rFont val="Microsoft JhengHei"/>
        <family val="0"/>
        <charset val="1"/>
      </rPr>
      <t xml:space="preserve">× </t>
    </r>
    <r>
      <rPr>
        <sz val="11"/>
        <color rgb="FF1B2B29"/>
        <rFont val="Noto Sans CJK SC"/>
        <family val="2"/>
      </rPr>
      <t xml:space="preserve">質借利率</t>
    </r>
  </si>
  <si>
    <t xml:space="preserve">渣打一年實拿</t>
  </si>
  <si>
    <t xml:space="preserve">渣打實質年化</t>
  </si>
  <si>
    <t xml:space="preserve">③  他行 — 單純領息（無槓桿）</t>
  </si>
  <si>
    <r>
      <rPr>
        <b val="true"/>
        <sz val="11"/>
        <color rgb="FF1B2B29"/>
        <rFont val="Noto Sans CJK SC"/>
        <family val="2"/>
      </rPr>
      <t xml:space="preserve">他行一年實拿 </t>
    </r>
    <r>
      <rPr>
        <b val="true"/>
        <sz val="11"/>
        <color rgb="FF1B2B29"/>
        <rFont val="Microsoft JhengHei"/>
        <family val="0"/>
        <charset val="1"/>
      </rPr>
      <t xml:space="preserve">= </t>
    </r>
    <r>
      <rPr>
        <b val="true"/>
        <sz val="11"/>
        <color rgb="FF1B2B29"/>
        <rFont val="Noto Sans CJK SC"/>
        <family val="2"/>
      </rPr>
      <t xml:space="preserve">資金 </t>
    </r>
    <r>
      <rPr>
        <b val="true"/>
        <sz val="11"/>
        <color rgb="FF1B2B29"/>
        <rFont val="Microsoft JhengHei"/>
        <family val="0"/>
        <charset val="1"/>
      </rPr>
      <t xml:space="preserve">× </t>
    </r>
    <r>
      <rPr>
        <b val="true"/>
        <sz val="11"/>
        <color rgb="FF1B2B29"/>
        <rFont val="Noto Sans CJK SC"/>
        <family val="2"/>
      </rPr>
      <t xml:space="preserve">他行票面</t>
    </r>
  </si>
  <si>
    <t xml:space="preserve">他行年化（＝票面）</t>
  </si>
  <si>
    <t xml:space="preserve">④  結論</t>
  </si>
  <si>
    <t xml:space="preserve">他行票面需 ≥（打平線）</t>
  </si>
  <si>
    <t xml:space="preserve">＝需比渣打票面高</t>
  </si>
  <si>
    <r>
      <rPr>
        <sz val="11"/>
        <color rgb="FF1B2B29"/>
        <rFont val="Noto Sans CJK SC"/>
        <family val="2"/>
      </rPr>
      <t xml:space="preserve">渣打 − 他行 差額 </t>
    </r>
    <r>
      <rPr>
        <sz val="11"/>
        <color rgb="FF1B2B29"/>
        <rFont val="Microsoft JhengHei"/>
        <family val="0"/>
        <charset val="1"/>
      </rPr>
      <t xml:space="preserve">/ </t>
    </r>
    <r>
      <rPr>
        <sz val="11"/>
        <color rgb="FF1B2B29"/>
        <rFont val="Noto Sans CJK SC"/>
        <family val="2"/>
      </rPr>
      <t xml:space="preserve">年</t>
    </r>
  </si>
  <si>
    <t xml:space="preserve">⑤  敏感度一覽（他行票面由低到高，綠色列為打平線）</t>
  </si>
  <si>
    <t xml:space="preserve">他行票面</t>
  </si>
  <si>
    <t xml:space="preserve">他行實拿</t>
  </si>
  <si>
    <t xml:space="preserve">渣打實拿</t>
  </si>
  <si>
    <t xml:space="preserve">渣打多賺</t>
  </si>
  <si>
    <t xml:space="preserve">渣打（槓桿一次）</t>
  </si>
  <si>
    <t xml:space="preserve">他行（無槓桿）</t>
  </si>
  <si>
    <r>
      <rPr>
        <sz val="9"/>
        <color rgb="FF6E7F7C"/>
        <rFont val="Noto Sans CJK SC"/>
        <family val="2"/>
      </rPr>
      <t xml:space="preserve">＊本試算為情境示範，數字依輸入條件即時計算，未計入稅負、手續費、匯率變動與追繳風險，不構成投資建議或招攬。
＊模型假設：僅加一層質借（借款 </t>
    </r>
    <r>
      <rPr>
        <sz val="9"/>
        <color rgb="FF6E7F7C"/>
        <rFont val="Microsoft JhengHei"/>
        <family val="0"/>
        <charset val="1"/>
      </rPr>
      <t xml:space="preserve">1 </t>
    </r>
    <r>
      <rPr>
        <sz val="9"/>
        <color rgb="FF6E7F7C"/>
        <rFont val="Noto Sans CJK SC"/>
        <family val="2"/>
      </rPr>
      <t xml:space="preserve">次、不重複疊加）、渣打與他行連結標的相同、配息以年化單利計算。
＊</t>
    </r>
    <r>
      <rPr>
        <sz val="9"/>
        <color rgb="FF6E7F7C"/>
        <rFont val="Microsoft JhengHei"/>
        <family val="0"/>
        <charset val="1"/>
      </rPr>
      <t xml:space="preserve">FCN </t>
    </r>
    <r>
      <rPr>
        <sz val="9"/>
        <color rgb="FF6E7F7C"/>
        <rFont val="Noto Sans CJK SC"/>
        <family val="2"/>
      </rPr>
      <t xml:space="preserve">為條件式配息，實際依 </t>
    </r>
    <r>
      <rPr>
        <sz val="9"/>
        <color rgb="FF6E7F7C"/>
        <rFont val="Microsoft JhengHei"/>
        <family val="0"/>
        <charset val="1"/>
      </rPr>
      <t xml:space="preserve">KO</t>
    </r>
    <r>
      <rPr>
        <sz val="9"/>
        <color rgb="FF6E7F7C"/>
        <rFont val="Noto Sans CJK SC"/>
        <family val="2"/>
      </rPr>
      <t xml:space="preserve">／</t>
    </r>
    <r>
      <rPr>
        <sz val="9"/>
        <color rgb="FF6E7F7C"/>
        <rFont val="Microsoft JhengHei"/>
        <family val="0"/>
        <charset val="1"/>
      </rPr>
      <t xml:space="preserve">KI </t>
    </r>
    <r>
      <rPr>
        <sz val="9"/>
        <color rgb="FF6E7F7C"/>
        <rFont val="Noto Sans CJK SC"/>
        <family val="2"/>
      </rPr>
      <t xml:space="preserve">等產品條款而定；槓桿會同時放大收益與虧損。過往績效不代表未來表現。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</si>
</sst>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\+0.0%;\-0.0%"/>
    <numFmt numFmtId="168" formatCode="\$#,##0;&quot;($&quot;#,##0\);\-"/>
    <numFmt numFmtId="169" formatCode="\$#,##0;&quot;($&quot;#,##0\);&quot;打平&quot;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Microsoft JhengHei"/>
      <family val="0"/>
      <charset val="1"/>
    </font>
    <font>
      <b val="true"/>
      <sz val="20"/>
      <color rgb="FFFFFFFF"/>
      <name val="Noto Sans CJK SC"/>
      <family val="2"/>
    </font>
    <font>
      <sz val="10.5"/>
      <color rgb="FFFFFFFF"/>
      <name val="Noto Sans CJK SC"/>
      <family val="2"/>
    </font>
    <font>
      <b val="true"/>
      <sz val="12"/>
      <color rgb="FFFFFFFF"/>
      <name val="Noto Sans CJK SC"/>
      <family val="2"/>
    </font>
    <font>
      <sz val="11"/>
      <color rgb="FF1B2B29"/>
      <name val="Noto Sans CJK SC"/>
      <family val="2"/>
    </font>
    <font>
      <sz val="11"/>
      <color rgb="FF1B2B29"/>
      <name val="Microsoft JhengHei"/>
      <family val="0"/>
      <charset val="1"/>
    </font>
    <font>
      <b val="true"/>
      <sz val="12"/>
      <color rgb="FF0000FF"/>
      <name val="Microsoft JhengHei"/>
      <family val="0"/>
      <charset val="1"/>
    </font>
    <font>
      <b val="true"/>
      <sz val="12"/>
      <color rgb="FFFFFFFF"/>
      <name val="Microsoft JhengHei"/>
      <family val="0"/>
      <charset val="1"/>
    </font>
    <font>
      <b val="true"/>
      <sz val="11"/>
      <color rgb="FF1B2B29"/>
      <name val="Noto Sans CJK SC"/>
      <family val="2"/>
    </font>
    <font>
      <b val="true"/>
      <sz val="13"/>
      <color rgb="FF2E7D5B"/>
      <name val="Microsoft JhengHei"/>
      <family val="0"/>
      <charset val="1"/>
    </font>
    <font>
      <b val="true"/>
      <sz val="11"/>
      <color rgb="FF2E7D5B"/>
      <name val="Microsoft JhengHei"/>
      <family val="0"/>
      <charset val="1"/>
    </font>
    <font>
      <b val="true"/>
      <sz val="11"/>
      <color rgb="FF1B2B29"/>
      <name val="Microsoft JhengHei"/>
      <family val="0"/>
      <charset val="1"/>
    </font>
    <font>
      <b val="true"/>
      <sz val="13"/>
      <color rgb="FF5C6B69"/>
      <name val="Microsoft JhengHei"/>
      <family val="0"/>
      <charset val="1"/>
    </font>
    <font>
      <b val="true"/>
      <sz val="13"/>
      <color rgb="FFC7A24B"/>
      <name val="Microsoft JhengHei"/>
      <family val="0"/>
      <charset val="1"/>
    </font>
    <font>
      <b val="true"/>
      <sz val="11"/>
      <color rgb="FFC7A24B"/>
      <name val="Microsoft JhengHei"/>
      <family val="0"/>
      <charset val="1"/>
    </font>
    <font>
      <b val="true"/>
      <sz val="12"/>
      <color rgb="FF2E7D5B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B23A3A"/>
      <name val="Microsoft JhengHei"/>
      <family val="0"/>
      <charset val="1"/>
    </font>
    <font>
      <sz val="10"/>
      <color rgb="FF6E7F7C"/>
      <name val="Noto Sans CJK SC"/>
      <family val="2"/>
    </font>
    <font>
      <sz val="10"/>
      <color rgb="FF6E7F7C"/>
      <name val="Microsoft JhengHei"/>
      <family val="0"/>
      <charset val="1"/>
    </font>
    <font>
      <sz val="9"/>
      <color rgb="FF6E7F7C"/>
      <name val="Noto Sans CJK SC"/>
      <family val="2"/>
    </font>
    <font>
      <sz val="9"/>
      <color rgb="FF6E7F7C"/>
      <name val="Microsoft JhengHei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A3D3A"/>
        <bgColor rgb="FF0F4E4A"/>
      </patternFill>
    </fill>
    <fill>
      <patternFill patternType="solid">
        <fgColor rgb="FF0F4E4A"/>
        <bgColor rgb="FF0A3D3A"/>
      </patternFill>
    </fill>
    <fill>
      <patternFill patternType="solid">
        <fgColor rgb="FFFFF2B2"/>
        <bgColor rgb="FFEAF2EE"/>
      </patternFill>
    </fill>
    <fill>
      <patternFill patternType="solid">
        <fgColor rgb="FFEAF2EE"/>
        <bgColor rgb="FFF7FAF9"/>
      </patternFill>
    </fill>
    <fill>
      <patternFill patternType="solid">
        <fgColor rgb="FFF7FAF9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DC"/>
      </left>
      <right style="thin">
        <color rgb="FFD5DEDC"/>
      </right>
      <top style="thin">
        <color rgb="FFD5DEDC"/>
      </top>
      <bottom style="thin">
        <color rgb="FFD5DE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E7F7C"/>
      <rgbColor rgb="FF800080"/>
      <rgbColor rgb="FF008080"/>
      <rgbColor rgb="FFC0C0C0"/>
      <rgbColor rgb="FF878787"/>
      <rgbColor rgb="FF9999FF"/>
      <rgbColor rgb="FFB23A3A"/>
      <rgbColor rgb="FFF9F9F9"/>
      <rgbColor rgb="FFEAF2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9"/>
      <rgbColor rgb="FFD5DED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7A24B"/>
      <rgbColor rgb="FFFF6600"/>
      <rgbColor rgb="FF5C6B69"/>
      <rgbColor rgb="FF9AA6A4"/>
      <rgbColor rgb="FF0A3D3A"/>
      <rgbColor rgb="FF2E7D5B"/>
      <rgbColor rgb="FF0F4E4A"/>
      <rgbColor rgb="FF333300"/>
      <rgbColor rgb="FF993300"/>
      <rgbColor rgb="FF993366"/>
      <rgbColor rgb="FF333399"/>
      <rgbColor rgb="FF1B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一年實拿比較（US$）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7d5b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2e7d5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9aa6a4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槓桿試算!$B$42:$B$43</c:f>
              <c:strCache>
                <c:ptCount val="2"/>
                <c:pt idx="0">
                  <c:v>渣打（槓桿一次）</c:v>
                </c:pt>
                <c:pt idx="1">
                  <c:v>他行（無槓桿）</c:v>
                </c:pt>
              </c:strCache>
            </c:strRef>
          </c:cat>
          <c:val>
            <c:numRef>
              <c:f>槓桿試算!$C$42:$C$43</c:f>
              <c:numCache>
                <c:formatCode>\$#,##0</c:formatCode>
                <c:ptCount val="2"/>
                <c:pt idx="0">
                  <c:v>21400</c:v>
                </c:pt>
                <c:pt idx="1">
                  <c:v>18000</c:v>
                </c:pt>
              </c:numCache>
            </c:numRef>
          </c:val>
        </c:ser>
        <c:gapWidth val="150"/>
        <c:overlap val="0"/>
        <c:axId val="95942987"/>
        <c:axId val="95722856"/>
      </c:barChart>
      <c:catAx>
        <c:axId val="959429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22856"/>
        <c:crosses val="autoZero"/>
        <c:auto val="1"/>
        <c:lblAlgn val="ctr"/>
        <c:lblOffset val="100"/>
        <c:noMultiLvlLbl val="0"/>
      </c:catAx>
      <c:valAx>
        <c:axId val="95722856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429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13</xdr:col>
      <xdr:colOff>218880</xdr:colOff>
      <xdr:row>15</xdr:row>
      <xdr:rowOff>106200</xdr:rowOff>
    </xdr:to>
    <xdr:graphicFrame>
      <xdr:nvGraphicFramePr>
        <xdr:cNvPr id="0" name="Chart 1"/>
        <xdr:cNvGraphicFramePr/>
      </xdr:nvGraphicFramePr>
      <xdr:xfrm>
        <a:off x="5638680" y="105732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8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6" min="6" style="0" width="3"/>
  </cols>
  <sheetData>
    <row r="2" customFormat="false" ht="33.75" hidden="false" customHeight="true" outlineLevel="0" collapsed="false">
      <c r="B2" s="1" t="s">
        <v>0</v>
      </c>
      <c r="C2" s="1"/>
      <c r="D2" s="1"/>
      <c r="E2" s="1"/>
    </row>
    <row r="3" customFormat="false" ht="19.5" hidden="false" customHeight="true" outlineLevel="0" collapsed="false">
      <c r="B3" s="2" t="s">
        <v>1</v>
      </c>
      <c r="C3" s="2"/>
      <c r="D3" s="2"/>
      <c r="E3" s="2"/>
    </row>
    <row r="5" customFormat="false" ht="21.75" hidden="false" customHeight="true" outlineLevel="0" collapsed="false">
      <c r="B5" s="3" t="s">
        <v>2</v>
      </c>
      <c r="C5" s="3"/>
      <c r="D5" s="3"/>
      <c r="E5" s="3"/>
    </row>
    <row r="6" customFormat="false" ht="17.15" hidden="false" customHeight="false" outlineLevel="0" collapsed="false">
      <c r="B6" s="4" t="s">
        <v>3</v>
      </c>
      <c r="C6" s="5" t="n">
        <v>200000</v>
      </c>
    </row>
    <row r="7" customFormat="false" ht="17.15" hidden="false" customHeight="false" outlineLevel="0" collapsed="false">
      <c r="B7" s="4" t="s">
        <v>4</v>
      </c>
      <c r="C7" s="6" t="n">
        <v>0.08</v>
      </c>
    </row>
    <row r="8" customFormat="false" ht="17.15" hidden="false" customHeight="false" outlineLevel="0" collapsed="false">
      <c r="B8" s="4" t="s">
        <v>5</v>
      </c>
      <c r="C8" s="6" t="n">
        <v>0.45</v>
      </c>
    </row>
    <row r="9" customFormat="false" ht="17.15" hidden="false" customHeight="false" outlineLevel="0" collapsed="false">
      <c r="B9" s="4" t="s">
        <v>6</v>
      </c>
      <c r="C9" s="6" t="n">
        <v>0.02</v>
      </c>
    </row>
    <row r="10" customFormat="false" ht="17.15" hidden="false" customHeight="false" outlineLevel="0" collapsed="false">
      <c r="B10" s="4" t="s">
        <v>7</v>
      </c>
      <c r="C10" s="6" t="n">
        <v>0.09</v>
      </c>
    </row>
    <row r="12" customFormat="false" ht="21.75" hidden="false" customHeight="true" outlineLevel="0" collapsed="false">
      <c r="B12" s="3" t="s">
        <v>8</v>
      </c>
      <c r="C12" s="3"/>
      <c r="D12" s="3"/>
      <c r="E12" s="3"/>
    </row>
    <row r="13" customFormat="false" ht="17.15" hidden="false" customHeight="false" outlineLevel="0" collapsed="false">
      <c r="B13" s="4" t="s">
        <v>9</v>
      </c>
      <c r="C13" s="7" t="n">
        <f aca="false">C6*C8</f>
        <v>90000</v>
      </c>
    </row>
    <row r="14" customFormat="false" ht="17.15" hidden="false" customHeight="false" outlineLevel="0" collapsed="false">
      <c r="B14" s="4" t="s">
        <v>10</v>
      </c>
      <c r="C14" s="7" t="n">
        <f aca="false">C6*C7</f>
        <v>16000</v>
      </c>
    </row>
    <row r="15" customFormat="false" ht="17.15" hidden="false" customHeight="false" outlineLevel="0" collapsed="false">
      <c r="B15" s="4" t="s">
        <v>11</v>
      </c>
      <c r="C15" s="7" t="n">
        <f aca="false">C13*C7</f>
        <v>7200</v>
      </c>
    </row>
    <row r="16" customFormat="false" ht="17.15" hidden="false" customHeight="false" outlineLevel="0" collapsed="false">
      <c r="B16" s="4" t="s">
        <v>12</v>
      </c>
      <c r="C16" s="7" t="n">
        <f aca="false">C13*C9</f>
        <v>1800</v>
      </c>
    </row>
    <row r="17" customFormat="false" ht="16.15" hidden="false" customHeight="false" outlineLevel="0" collapsed="false">
      <c r="B17" s="8" t="s">
        <v>13</v>
      </c>
      <c r="C17" s="9" t="n">
        <f aca="false">C14+C15-C16</f>
        <v>21400</v>
      </c>
    </row>
    <row r="18" customFormat="false" ht="15" hidden="false" customHeight="false" outlineLevel="0" collapsed="false">
      <c r="B18" s="4" t="s">
        <v>14</v>
      </c>
      <c r="C18" s="10" t="n">
        <f aca="false">C17/C6</f>
        <v>0.107</v>
      </c>
    </row>
    <row r="20" customFormat="false" ht="21.75" hidden="false" customHeight="true" outlineLevel="0" collapsed="false">
      <c r="B20" s="3" t="s">
        <v>15</v>
      </c>
      <c r="C20" s="3"/>
      <c r="D20" s="3"/>
      <c r="E20" s="3"/>
    </row>
    <row r="21" customFormat="false" ht="17.15" hidden="false" customHeight="false" outlineLevel="0" collapsed="false">
      <c r="B21" s="8" t="s">
        <v>16</v>
      </c>
      <c r="C21" s="11" t="n">
        <f aca="false">C6*C10</f>
        <v>18000</v>
      </c>
    </row>
    <row r="22" customFormat="false" ht="15" hidden="false" customHeight="false" outlineLevel="0" collapsed="false">
      <c r="B22" s="4" t="s">
        <v>17</v>
      </c>
      <c r="C22" s="12" t="n">
        <f aca="false">C10</f>
        <v>0.09</v>
      </c>
    </row>
    <row r="24" customFormat="false" ht="21.75" hidden="false" customHeight="true" outlineLevel="0" collapsed="false">
      <c r="B24" s="3" t="s">
        <v>18</v>
      </c>
      <c r="C24" s="3"/>
      <c r="D24" s="3"/>
      <c r="E24" s="3"/>
    </row>
    <row r="25" customFormat="false" ht="16.15" hidden="false" customHeight="false" outlineLevel="0" collapsed="false">
      <c r="B25" s="8" t="s">
        <v>19</v>
      </c>
      <c r="C25" s="13" t="n">
        <f aca="false">C7*(1+C8)-C8*C9</f>
        <v>0.107</v>
      </c>
    </row>
    <row r="26" customFormat="false" ht="15" hidden="false" customHeight="false" outlineLevel="0" collapsed="false">
      <c r="B26" s="4" t="s">
        <v>20</v>
      </c>
      <c r="C26" s="14" t="n">
        <f aca="false">C25-C7</f>
        <v>0.027</v>
      </c>
    </row>
    <row r="27" customFormat="false" ht="17.15" hidden="false" customHeight="false" outlineLevel="0" collapsed="false">
      <c r="B27" s="4" t="s">
        <v>21</v>
      </c>
      <c r="C27" s="15" t="n">
        <f aca="false">C17-C21</f>
        <v>3400</v>
      </c>
    </row>
    <row r="28" customFormat="false" ht="24" hidden="false" customHeight="true" outlineLevel="0" collapsed="false">
      <c r="B28" s="16" t="str">
        <f aca="false">IF(ABS(C27)&lt;1,"兩邊打平",IF(C27&gt;0,"→ 渣打多賺 "&amp;TEXT(C27,"$#,##0")&amp;" / 年（實質年化 "&amp;TEXT(C18,"0.0%")&amp;" vs 他行 "&amp;TEXT(C10,"0.0%")&amp;"）","→ 他行多賺 "&amp;TEXT(-C27,"$#,##0")&amp;" / 年"))</f>
        <v>→ 渣打多賺 $3,400 / 年（實質年化 10.7% vs 他行 9.0%）</v>
      </c>
      <c r="C28" s="16"/>
      <c r="D28" s="16"/>
      <c r="E28" s="16"/>
    </row>
    <row r="30" customFormat="false" ht="21.75" hidden="false" customHeight="true" outlineLevel="0" collapsed="false">
      <c r="B30" s="3" t="s">
        <v>22</v>
      </c>
      <c r="C30" s="3"/>
      <c r="D30" s="3"/>
      <c r="E30" s="3"/>
    </row>
    <row r="31" customFormat="false" ht="15" hidden="false" customHeight="false" outlineLevel="0" collapsed="false">
      <c r="B31" s="17" t="s">
        <v>23</v>
      </c>
      <c r="C31" s="17" t="s">
        <v>24</v>
      </c>
      <c r="D31" s="17" t="s">
        <v>25</v>
      </c>
      <c r="E31" s="17" t="s">
        <v>26</v>
      </c>
    </row>
    <row r="32" customFormat="false" ht="15" hidden="false" customHeight="false" outlineLevel="0" collapsed="false">
      <c r="B32" s="18" t="n">
        <f aca="false">$C$25+(-0.025)</f>
        <v>0.082</v>
      </c>
      <c r="C32" s="19" t="n">
        <f aca="false">$C$6*B32</f>
        <v>16400</v>
      </c>
      <c r="D32" s="20" t="n">
        <f aca="false">$C$17</f>
        <v>21400</v>
      </c>
      <c r="E32" s="21" t="n">
        <f aca="false">D32-C32</f>
        <v>5000</v>
      </c>
    </row>
    <row r="33" customFormat="false" ht="15" hidden="false" customHeight="false" outlineLevel="0" collapsed="false">
      <c r="B33" s="22" t="n">
        <f aca="false">$C$25+(-0.02)</f>
        <v>0.087</v>
      </c>
      <c r="C33" s="23" t="n">
        <f aca="false">$C$6*B33</f>
        <v>17400</v>
      </c>
      <c r="D33" s="24" t="n">
        <f aca="false">$C$17</f>
        <v>21400</v>
      </c>
      <c r="E33" s="25" t="n">
        <f aca="false">D33-C33</f>
        <v>4000</v>
      </c>
    </row>
    <row r="34" customFormat="false" ht="15" hidden="false" customHeight="false" outlineLevel="0" collapsed="false">
      <c r="B34" s="18" t="n">
        <f aca="false">$C$25+(-0.015)</f>
        <v>0.092</v>
      </c>
      <c r="C34" s="19" t="n">
        <f aca="false">$C$6*B34</f>
        <v>18400</v>
      </c>
      <c r="D34" s="20" t="n">
        <f aca="false">$C$17</f>
        <v>21400</v>
      </c>
      <c r="E34" s="21" t="n">
        <f aca="false">D34-C34</f>
        <v>3000</v>
      </c>
    </row>
    <row r="35" customFormat="false" ht="15" hidden="false" customHeight="false" outlineLevel="0" collapsed="false">
      <c r="B35" s="22" t="n">
        <f aca="false">$C$25+(-0.01)</f>
        <v>0.097</v>
      </c>
      <c r="C35" s="23" t="n">
        <f aca="false">$C$6*B35</f>
        <v>19400</v>
      </c>
      <c r="D35" s="24" t="n">
        <f aca="false">$C$17</f>
        <v>21400</v>
      </c>
      <c r="E35" s="25" t="n">
        <f aca="false">D35-C35</f>
        <v>2000</v>
      </c>
    </row>
    <row r="36" customFormat="false" ht="15" hidden="false" customHeight="false" outlineLevel="0" collapsed="false">
      <c r="B36" s="18" t="n">
        <f aca="false">$C$25+(-0.005)</f>
        <v>0.102</v>
      </c>
      <c r="C36" s="19" t="n">
        <f aca="false">$C$6*B36</f>
        <v>20400</v>
      </c>
      <c r="D36" s="20" t="n">
        <f aca="false">$C$17</f>
        <v>21400</v>
      </c>
      <c r="E36" s="21" t="n">
        <f aca="false">D36-C36</f>
        <v>1000</v>
      </c>
    </row>
    <row r="37" customFormat="false" ht="15" hidden="false" customHeight="false" outlineLevel="0" collapsed="false">
      <c r="B37" s="26" t="n">
        <f aca="false">$C$25+(0)</f>
        <v>0.107</v>
      </c>
      <c r="C37" s="27" t="n">
        <f aca="false">$C$6*B37</f>
        <v>21400</v>
      </c>
      <c r="D37" s="27" t="n">
        <f aca="false">$C$17</f>
        <v>21400</v>
      </c>
      <c r="E37" s="28" t="n">
        <f aca="false">D37-C37</f>
        <v>0</v>
      </c>
    </row>
    <row r="38" customFormat="false" ht="15" hidden="false" customHeight="false" outlineLevel="0" collapsed="false">
      <c r="B38" s="18" t="n">
        <f aca="false">$C$25+(0.005)</f>
        <v>0.112</v>
      </c>
      <c r="C38" s="19" t="n">
        <f aca="false">$C$6*B38</f>
        <v>22400</v>
      </c>
      <c r="D38" s="20" t="n">
        <f aca="false">$C$17</f>
        <v>21400</v>
      </c>
      <c r="E38" s="29" t="n">
        <f aca="false">D38-C38</f>
        <v>-999.999999999996</v>
      </c>
    </row>
    <row r="39" customFormat="false" ht="15" hidden="false" customHeight="false" outlineLevel="0" collapsed="false">
      <c r="B39" s="22" t="n">
        <f aca="false">$C$25+(0.01)</f>
        <v>0.117</v>
      </c>
      <c r="C39" s="23" t="n">
        <f aca="false">$C$6*B39</f>
        <v>23400</v>
      </c>
      <c r="D39" s="24" t="n">
        <f aca="false">$C$17</f>
        <v>21400</v>
      </c>
      <c r="E39" s="30" t="n">
        <f aca="false">D39-C39</f>
        <v>-2000</v>
      </c>
    </row>
    <row r="42" customFormat="false" ht="15" hidden="false" customHeight="false" outlineLevel="0" collapsed="false">
      <c r="B42" s="31" t="s">
        <v>27</v>
      </c>
      <c r="C42" s="32" t="n">
        <f aca="false">C17</f>
        <v>21400</v>
      </c>
    </row>
    <row r="43" customFormat="false" ht="15" hidden="false" customHeight="false" outlineLevel="0" collapsed="false">
      <c r="B43" s="31" t="s">
        <v>28</v>
      </c>
      <c r="C43" s="32" t="n">
        <f aca="false">C21</f>
        <v>18000</v>
      </c>
    </row>
    <row r="46" customFormat="false" ht="15" hidden="false" customHeight="true" outlineLevel="0" collapsed="false">
      <c r="B46" s="33" t="s">
        <v>29</v>
      </c>
      <c r="C46" s="33"/>
      <c r="D46" s="33"/>
      <c r="E46" s="33"/>
    </row>
    <row r="47" customFormat="false" ht="15" hidden="false" customHeight="false" outlineLevel="0" collapsed="false">
      <c r="B47" s="33"/>
      <c r="C47" s="33"/>
      <c r="D47" s="33"/>
      <c r="E47" s="33"/>
    </row>
    <row r="48" customFormat="false" ht="15" hidden="false" customHeight="false" outlineLevel="0" collapsed="false">
      <c r="B48" s="33"/>
      <c r="C48" s="33"/>
      <c r="D48" s="33"/>
      <c r="E48" s="33"/>
    </row>
  </sheetData>
  <mergeCells count="9">
    <mergeCell ref="B2:E2"/>
    <mergeCell ref="B3:E3"/>
    <mergeCell ref="B5:E5"/>
    <mergeCell ref="B12:E12"/>
    <mergeCell ref="B20:E20"/>
    <mergeCell ref="B24:E24"/>
    <mergeCell ref="B28:E28"/>
    <mergeCell ref="B30:E30"/>
    <mergeCell ref="B46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2026-07-22T13:34:15Z</dcterms:created>
  <dc:creator>openpyxl</dc:creator>
  <dc:description/>
  <dc:language>en-US</dc:language>
  <cp:lastModifiedBy/>
  <dcterms:modified xsi:type="dcterms:W3CDTF">2026-07-22T13:34:24Z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