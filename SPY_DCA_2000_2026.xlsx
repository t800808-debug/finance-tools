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Y定期定額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<sst xmlns="http://schemas.openxmlformats.org/spreadsheetml/2006/main" count="44" uniqueCount="43">
  <si>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r>
      <rPr>
        <b val="true"/>
        <sz val="14"/>
        <color rgb="FFFFFFFF"/>
        <rFont val="Arial"/>
        <family val="0"/>
        <charset val="1"/>
      </rPr>
      <t xml:space="preserve">SPY </t>
    </r>
    <r>
      <rPr>
        <b val="true"/>
        <sz val="14"/>
        <color rgb="FFFFFFFF"/>
        <rFont val="Noto Sans CJK SC"/>
        <family val="2"/>
      </rPr>
      <t xml:space="preserve">定期定額試算　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配息再投入 </t>
    </r>
    <r>
      <rPr>
        <b val="true"/>
        <sz val="14"/>
        <color rgb="FFFFFFFF"/>
        <rFont val="Arial"/>
        <family val="0"/>
        <charset val="1"/>
      </rPr>
      <t xml:space="preserve">/ </t>
    </r>
    <r>
      <rPr>
        <b val="true"/>
        <sz val="14"/>
        <color rgb="FFFFFFFF"/>
        <rFont val="Noto Sans CJK SC"/>
        <family val="2"/>
      </rPr>
      <t xml:space="preserve">總報酬基準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</si>
  <si>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匯率 </t>
    </r>
    <r>
      <rPr>
        <b val="true"/>
        <sz val="11"/>
        <rFont val="Arial"/>
        <family val="0"/>
        <charset val="1"/>
      </rPr>
      <t xml:space="preserve">(TWD/USD)</t>
    </r>
  </si>
  <si>
    <r>
      <rPr>
        <b val="true"/>
        <sz val="11"/>
        <rFont val="Noto Sans CJK SC"/>
        <family val="2"/>
      </rPr>
      <t xml:space="preserve">首年投入 </t>
    </r>
    <r>
      <rPr>
        <b val="true"/>
        <sz val="11"/>
        <rFont val="Arial"/>
        <family val="0"/>
        <charset val="1"/>
      </rPr>
      <t xml:space="preserve">2000 (TWD)</t>
    </r>
  </si>
  <si>
    <r>
      <rPr>
        <b val="true"/>
        <sz val="11"/>
        <rFont val="Noto Sans CJK SC"/>
        <family val="2"/>
      </rPr>
      <t xml:space="preserve">每年投入 </t>
    </r>
    <r>
      <rPr>
        <b val="true"/>
        <sz val="11"/>
        <rFont val="Arial"/>
        <family val="0"/>
        <charset val="1"/>
      </rPr>
      <t xml:space="preserve">2001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Arial"/>
        <family val="0"/>
        <charset val="1"/>
      </rPr>
      <t xml:space="preserve">(TWD)</t>
    </r>
  </si>
  <si>
    <r>
      <rPr>
        <b val="true"/>
        <sz val="11"/>
        <rFont val="Noto Sans CJK SC"/>
        <family val="2"/>
      </rPr>
      <t xml:space="preserve">現值還原價 </t>
    </r>
    <r>
      <rPr>
        <b val="true"/>
        <sz val="11"/>
        <rFont val="Arial"/>
        <family val="0"/>
        <charset val="1"/>
      </rPr>
      <t xml:space="preserve">~2026/8 (USD)</t>
    </r>
  </si>
  <si>
    <r>
      <rPr>
        <i val="true"/>
        <sz val="9"/>
        <color rgb="FF666666"/>
        <rFont val="Noto Sans CJK SC"/>
        <family val="2"/>
      </rPr>
      <t xml:space="preserve">資料來源：</t>
    </r>
    <r>
      <rPr>
        <i val="true"/>
        <sz val="9"/>
        <color rgb="FF666666"/>
        <rFont val="Arial"/>
        <family val="0"/>
        <charset val="1"/>
      </rPr>
      <t xml:space="preserve">Macrotrends</t>
    </r>
    <r>
      <rPr>
        <i val="true"/>
        <sz val="9"/>
        <color rgb="FF666666"/>
        <rFont val="Noto Sans CJK SC"/>
        <family val="2"/>
      </rPr>
      <t xml:space="preserve">『</t>
    </r>
    <r>
      <rPr>
        <i val="true"/>
        <sz val="9"/>
        <color rgb="FF666666"/>
        <rFont val="Arial"/>
        <family val="0"/>
        <charset val="1"/>
      </rPr>
      <t xml:space="preserve">Year Open</t>
    </r>
    <r>
      <rPr>
        <i val="true"/>
        <sz val="9"/>
        <color rgb="FF666666"/>
        <rFont val="Noto Sans CJK SC"/>
        <family val="2"/>
      </rPr>
      <t xml:space="preserve">』還原價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已還原分割</t>
    </r>
    <r>
      <rPr>
        <i val="true"/>
        <sz val="9"/>
        <color rgb="FF666666"/>
        <rFont val="Arial"/>
        <family val="0"/>
        <charset val="1"/>
      </rPr>
      <t xml:space="preserve">+</t>
    </r>
    <r>
      <rPr>
        <i val="true"/>
        <sz val="9"/>
        <color rgb="FF666666"/>
        <rFont val="Noto Sans CJK SC"/>
        <family val="2"/>
      </rPr>
      <t xml:space="preserve">配息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；現值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名目</t>
    </r>
    <r>
      <rPr>
        <i val="true"/>
        <sz val="9"/>
        <color rgb="FF666666"/>
        <rFont val="Arial"/>
        <family val="0"/>
        <charset val="1"/>
      </rPr>
      <t xml:space="preserve">767.05×</t>
    </r>
    <r>
      <rPr>
        <i val="true"/>
        <sz val="9"/>
        <color rgb="FF666666"/>
        <rFont val="Noto Sans CJK SC"/>
        <family val="2"/>
      </rPr>
      <t xml:space="preserve">期間總報酬。藍色網底儲存格可自行修改。</t>
    </r>
  </si>
  <si>
    <t xml:space="preserve">年</t>
  </si>
  <si>
    <r>
      <rPr>
        <b val="true"/>
        <sz val="11"/>
        <color rgb="FFFFFFFF"/>
        <rFont val="Noto Sans CJK SC"/>
        <family val="2"/>
      </rPr>
      <t xml:space="preserve">當年投入 </t>
    </r>
    <r>
      <rPr>
        <b val="true"/>
        <sz val="11"/>
        <color rgb="FFFFFFFF"/>
        <rFont val="Arial"/>
        <family val="0"/>
        <charset val="1"/>
      </rPr>
      <t xml:space="preserve">(TWD)</t>
    </r>
  </si>
  <si>
    <r>
      <rPr>
        <b val="true"/>
        <sz val="11"/>
        <color rgb="FFFFFFFF"/>
        <rFont val="Noto Sans CJK SC"/>
        <family val="2"/>
      </rPr>
      <t xml:space="preserve">累計投入 </t>
    </r>
    <r>
      <rPr>
        <b val="true"/>
        <sz val="11"/>
        <color rgb="FFFFFFFF"/>
        <rFont val="Arial"/>
        <family val="0"/>
        <charset val="1"/>
      </rPr>
      <t xml:space="preserve">(TWD)</t>
    </r>
  </si>
  <si>
    <r>
      <rPr>
        <b val="true"/>
        <sz val="11"/>
        <color rgb="FFFFFFFF"/>
        <rFont val="Noto Sans CJK SC"/>
        <family val="2"/>
      </rPr>
      <t xml:space="preserve">還原年初價 </t>
    </r>
    <r>
      <rPr>
        <b val="true"/>
        <sz val="11"/>
        <color rgb="FFFFFFFF"/>
        <rFont val="Arial"/>
        <family val="0"/>
        <charset val="1"/>
      </rPr>
      <t xml:space="preserve">(USD)</t>
    </r>
  </si>
  <si>
    <t xml:space="preserve">當年買入單位</t>
  </si>
  <si>
    <t xml:space="preserve">累計單位</t>
  </si>
  <si>
    <r>
      <rPr>
        <b val="true"/>
        <sz val="11"/>
        <color rgb="FFFFFFFF"/>
        <rFont val="Noto Sans CJK SC"/>
        <family val="2"/>
      </rPr>
      <t xml:space="preserve">當年市值 </t>
    </r>
    <r>
      <rPr>
        <b val="true"/>
        <sz val="11"/>
        <color rgb="FFFFFFFF"/>
        <rFont val="Arial"/>
        <family val="0"/>
        <charset val="1"/>
      </rPr>
      <t xml:space="preserve">(TWD)</t>
    </r>
  </si>
  <si>
    <t xml:space="preserve">報酬倍數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</si>
  <si>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</si>
  <si>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</si>
  <si>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</si>
  <si>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</si>
  <si>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</si>
  <si>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</si>
  <si>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</si>
  <si>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</si>
  <si>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</si>
  <si>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</si>
  <si>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</si>
  <si>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</si>
  <si>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</si>
  <si>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</si>
  <si>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</si>
  <si>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</si>
  <si>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</si>
  <si>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</si>
  <si>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</si>
  <si>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</si>
  <si>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</si>
  <si>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</si>
  <si>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</si>
  <si>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</si>
  <si>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</si>
  <si>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</si>
  <si>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</si>
  <si>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現在</t>
  </si>
  <si>
    <t xml:space="preserve">—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</si>
</sst>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"/>
    <numFmt numFmtId="167" formatCode="@"/>
    <numFmt numFmtId="168" formatCode="0.0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D6"/>
        <bgColor rgb="FFFFFFFF"/>
      </patternFill>
    </fill>
    <fill>
      <patternFill patternType="solid">
        <fgColor rgb="FFB8860B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D9D9D9"/>
      <rgbColor rgb="FF878787"/>
      <rgbColor rgb="FF9999FF"/>
      <rgbColor rgb="FF993366"/>
      <rgbColor rgb="FFFFF7D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投入 vs 市值 (配息再投入)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SPY定期定額!C9</c:f>
              <c:strCache>
                <c:ptCount val="1"/>
                <c:pt idx="0">
                  <c:v>累計投入 (TWD)</c:v>
                </c:pt>
              </c:strCache>
            </c:strRef>
          </c:tx>
          <c:spPr>
            <a:solidFill>
              <a:srgbClr val="b8860b"/>
            </a:solidFill>
            <a:ln w="28440">
              <a:solidFill>
                <a:srgbClr val="b886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SPY定期定額!$A$10:$A$36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strCache>
            </c:strRef>
          </c:cat>
          <c:val>
            <c:numRef>
              <c:f>SPY定期定額!$C$10:$C$36</c:f>
              <c:numCache>
                <c:formatCode>#,##0</c:formatCode>
                <c:ptCount val="27"/>
                <c:pt idx="0">
                  <c:v>600000</c:v>
                </c:pt>
                <c:pt idx="1">
                  <c:v>1000000</c:v>
                </c:pt>
                <c:pt idx="2">
                  <c:v>1400000</c:v>
                </c:pt>
                <c:pt idx="3">
                  <c:v>1800000</c:v>
                </c:pt>
                <c:pt idx="4">
                  <c:v>2200000</c:v>
                </c:pt>
                <c:pt idx="5">
                  <c:v>2600000</c:v>
                </c:pt>
                <c:pt idx="6">
                  <c:v>3000000</c:v>
                </c:pt>
                <c:pt idx="7">
                  <c:v>3400000</c:v>
                </c:pt>
                <c:pt idx="8">
                  <c:v>3800000</c:v>
                </c:pt>
                <c:pt idx="9">
                  <c:v>4200000</c:v>
                </c:pt>
                <c:pt idx="10">
                  <c:v>4600000</c:v>
                </c:pt>
                <c:pt idx="11">
                  <c:v>5000000</c:v>
                </c:pt>
                <c:pt idx="12">
                  <c:v>5400000</c:v>
                </c:pt>
                <c:pt idx="13">
                  <c:v>5800000</c:v>
                </c:pt>
                <c:pt idx="14">
                  <c:v>6200000</c:v>
                </c:pt>
                <c:pt idx="15">
                  <c:v>6600000</c:v>
                </c:pt>
                <c:pt idx="16">
                  <c:v>7000000</c:v>
                </c:pt>
                <c:pt idx="17">
                  <c:v>7400000</c:v>
                </c:pt>
                <c:pt idx="18">
                  <c:v>7800000</c:v>
                </c:pt>
                <c:pt idx="19">
                  <c:v>8200000</c:v>
                </c:pt>
                <c:pt idx="20">
                  <c:v>8600000</c:v>
                </c:pt>
                <c:pt idx="21">
                  <c:v>9000000</c:v>
                </c:pt>
                <c:pt idx="22">
                  <c:v>9400000</c:v>
                </c:pt>
                <c:pt idx="23">
                  <c:v>9800000</c:v>
                </c:pt>
                <c:pt idx="24">
                  <c:v>10200000</c:v>
                </c:pt>
                <c:pt idx="25">
                  <c:v>10600000</c:v>
                </c:pt>
                <c:pt idx="26">
                  <c:v>11000000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SPY定期定額!G9</c:f>
              <c:strCache>
                <c:ptCount val="1"/>
                <c:pt idx="0">
                  <c:v>當年市值 (TWD)</c:v>
                </c:pt>
              </c:strCache>
            </c:strRef>
          </c:tx>
          <c:spPr>
            <a:solidFill>
              <a:srgbClr val="1f3a5f"/>
            </a:solidFill>
            <a:ln w="280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SPY定期定額!$A$10:$A$36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strCache>
            </c:strRef>
          </c:cat>
          <c:val>
            <c:numRef>
              <c:f>SPY定期定額!$G$10:$G$36</c:f>
              <c:numCache>
                <c:formatCode>#,##0</c:formatCode>
                <c:ptCount val="27"/>
                <c:pt idx="0">
                  <c:v>600000</c:v>
                </c:pt>
                <c:pt idx="1">
                  <c:v>937013.419375684</c:v>
                </c:pt>
                <c:pt idx="2">
                  <c:v>1251140.36834856</c:v>
                </c:pt>
                <c:pt idx="3">
                  <c:v>1401885.90293952</c:v>
                </c:pt>
                <c:pt idx="4">
                  <c:v>2140138.58520113</c:v>
                </c:pt>
                <c:pt idx="5">
                  <c:v>2758975.9247561</c:v>
                </c:pt>
                <c:pt idx="6">
                  <c:v>3357002.18778361</c:v>
                </c:pt>
                <c:pt idx="7">
                  <c:v>4214962.41507733</c:v>
                </c:pt>
                <c:pt idx="8">
                  <c:v>4800857.14493598</c:v>
                </c:pt>
                <c:pt idx="9">
                  <c:v>3553441.9770854</c:v>
                </c:pt>
                <c:pt idx="10">
                  <c:v>4832378.79363215</c:v>
                </c:pt>
                <c:pt idx="11">
                  <c:v>5923749.747531</c:v>
                </c:pt>
                <c:pt idx="12">
                  <c:v>6469211.39483166</c:v>
                </c:pt>
                <c:pt idx="13">
                  <c:v>7975522.03415549</c:v>
                </c:pt>
                <c:pt idx="14">
                  <c:v>10589998.6684901</c:v>
                </c:pt>
                <c:pt idx="15">
                  <c:v>12525571.221485</c:v>
                </c:pt>
                <c:pt idx="16">
                  <c:v>12909564.2893841</c:v>
                </c:pt>
                <c:pt idx="17">
                  <c:v>15175654.0108397</c:v>
                </c:pt>
                <c:pt idx="18">
                  <c:v>18860511.1591377</c:v>
                </c:pt>
                <c:pt idx="19">
                  <c:v>18289513.3586142</c:v>
                </c:pt>
                <c:pt idx="20">
                  <c:v>24599431.0454562</c:v>
                </c:pt>
                <c:pt idx="21">
                  <c:v>28846588.5668819</c:v>
                </c:pt>
                <c:pt idx="22">
                  <c:v>38264378.8472359</c:v>
                </c:pt>
                <c:pt idx="23">
                  <c:v>31398374.1135812</c:v>
                </c:pt>
                <c:pt idx="24">
                  <c:v>39962004.5624611</c:v>
                </c:pt>
                <c:pt idx="25">
                  <c:v>50464704.983079</c:v>
                </c:pt>
                <c:pt idx="26">
                  <c:v>60063010.8477015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146519"/>
        <c:axId val="86969798"/>
      </c:lineChart>
      <c:catAx>
        <c:axId val="981465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69798"/>
        <c:crosses val="autoZero"/>
        <c:auto val="1"/>
        <c:lblAlgn val="ctr"/>
        <c:lblOffset val="100"/>
        <c:noMultiLvlLbl val="0"/>
      </c:catAx>
      <c:valAx>
        <c:axId val="86969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TWD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465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20</xdr:col>
      <xdr:colOff>473040</xdr:colOff>
      <xdr:row>17</xdr:row>
      <xdr:rowOff>74160</xdr:rowOff>
    </xdr:to>
    <xdr:graphicFrame>
      <xdr:nvGraphicFramePr>
        <xdr:cNvPr id="0" name="Chart 1"/>
        <xdr:cNvGraphicFramePr/>
      </xdr:nvGraphicFramePr>
      <xdr:xfrm>
        <a:off x="7800840" y="514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7.15" hidden="false" customHeight="false" outlineLevel="0" collapsed="false">
      <c r="A3" s="2" t="s">
        <v>1</v>
      </c>
      <c r="B3" s="3" t="n">
        <v>31.5</v>
      </c>
    </row>
    <row r="4" customFormat="false" ht="17.15" hidden="false" customHeight="false" outlineLevel="0" collapsed="false">
      <c r="A4" s="2" t="s">
        <v>2</v>
      </c>
      <c r="B4" s="4" t="n">
        <v>600000</v>
      </c>
    </row>
    <row r="5" customFormat="false" ht="17.15" hidden="false" customHeight="false" outlineLevel="0" collapsed="false">
      <c r="A5" s="2" t="s">
        <v>3</v>
      </c>
      <c r="B5" s="4" t="n">
        <v>400000</v>
      </c>
    </row>
    <row r="6" customFormat="false" ht="17.15" hidden="false" customHeight="false" outlineLevel="0" collapsed="false">
      <c r="A6" s="2" t="s">
        <v>4</v>
      </c>
      <c r="B6" s="3" t="n">
        <v>770.9</v>
      </c>
    </row>
    <row r="7" customFormat="false" ht="14.15" hidden="false" customHeight="fals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9" customFormat="false" ht="31.5" hidden="false" customHeight="true" outlineLevel="0" collapsed="false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</row>
    <row r="10" customFormat="false" ht="15" hidden="false" customHeight="false" outlineLevel="0" collapsed="false">
      <c r="A10" s="7" t="s">
        <v>14</v>
      </c>
      <c r="B10" s="8" t="n">
        <f aca="false">$B$4</f>
        <v>600000</v>
      </c>
      <c r="C10" s="8" t="n">
        <f aca="false">B10</f>
        <v>600000</v>
      </c>
      <c r="D10" s="9" t="n">
        <v>91.6138</v>
      </c>
      <c r="E10" s="9" t="n">
        <f aca="false">(B10/$B$3)/D10</f>
        <v>207.912116380055</v>
      </c>
      <c r="F10" s="9" t="n">
        <f aca="false">E10</f>
        <v>207.912116380055</v>
      </c>
      <c r="G10" s="8" t="n">
        <f aca="false">F10*D10*$B$3</f>
        <v>600000</v>
      </c>
      <c r="H10" s="10" t="n">
        <f aca="false">G10/C10</f>
        <v>1</v>
      </c>
    </row>
    <row r="11" customFormat="false" ht="15" hidden="false" customHeight="false" outlineLevel="0" collapsed="false">
      <c r="A11" s="7" t="s">
        <v>15</v>
      </c>
      <c r="B11" s="8" t="n">
        <f aca="false">$B$5</f>
        <v>400000</v>
      </c>
      <c r="C11" s="8" t="n">
        <f aca="false">C10+B11</f>
        <v>1000000</v>
      </c>
      <c r="D11" s="9" t="n">
        <v>81.9964</v>
      </c>
      <c r="E11" s="9" t="n">
        <f aca="false">(B11/$B$3)/D11</f>
        <v>154.865490416807</v>
      </c>
      <c r="F11" s="9" t="n">
        <f aca="false">F10+E11</f>
        <v>362.777606796862</v>
      </c>
      <c r="G11" s="8" t="n">
        <f aca="false">F11*D11*$B$3</f>
        <v>937013.419375684</v>
      </c>
      <c r="H11" s="10" t="n">
        <f aca="false">G11/C11</f>
        <v>0.937013419375684</v>
      </c>
    </row>
    <row r="12" customFormat="false" ht="15" hidden="false" customHeight="false" outlineLevel="0" collapsed="false">
      <c r="A12" s="7" t="s">
        <v>16</v>
      </c>
      <c r="B12" s="8" t="n">
        <f aca="false">$B$5</f>
        <v>400000</v>
      </c>
      <c r="C12" s="8" t="n">
        <f aca="false">C11+B12</f>
        <v>1400000</v>
      </c>
      <c r="D12" s="9" t="n">
        <v>74.4818</v>
      </c>
      <c r="E12" s="9" t="n">
        <f aca="false">(B12/$B$3)/D12</f>
        <v>170.490142537005</v>
      </c>
      <c r="F12" s="9" t="n">
        <f aca="false">F11+E12</f>
        <v>533.267749333867</v>
      </c>
      <c r="G12" s="8" t="n">
        <f aca="false">F12*D12*$B$3</f>
        <v>1251140.36834856</v>
      </c>
      <c r="H12" s="10" t="n">
        <f aca="false">G12/C12</f>
        <v>0.893671691677543</v>
      </c>
    </row>
    <row r="13" customFormat="false" ht="15" hidden="false" customHeight="false" outlineLevel="0" collapsed="false">
      <c r="A13" s="7" t="s">
        <v>17</v>
      </c>
      <c r="B13" s="8" t="n">
        <f aca="false">$B$5</f>
        <v>400000</v>
      </c>
      <c r="C13" s="8" t="n">
        <f aca="false">C12+B13</f>
        <v>1800000</v>
      </c>
      <c r="D13" s="9" t="n">
        <v>59.6434</v>
      </c>
      <c r="E13" s="9" t="n">
        <f aca="false">(B13/$B$3)/D13</f>
        <v>212.905580473492</v>
      </c>
      <c r="F13" s="9" t="n">
        <f aca="false">F12+E13</f>
        <v>746.173329807359</v>
      </c>
      <c r="G13" s="8" t="n">
        <f aca="false">F13*D13*$B$3</f>
        <v>1401885.90293952</v>
      </c>
      <c r="H13" s="10" t="n">
        <f aca="false">G13/C13</f>
        <v>0.778825501633065</v>
      </c>
    </row>
    <row r="14" customFormat="false" ht="15" hidden="false" customHeight="false" outlineLevel="0" collapsed="false">
      <c r="A14" s="7" t="s">
        <v>18</v>
      </c>
      <c r="B14" s="8" t="n">
        <f aca="false">$B$5</f>
        <v>400000</v>
      </c>
      <c r="C14" s="8" t="n">
        <f aca="false">C13+B14</f>
        <v>2200000</v>
      </c>
      <c r="D14" s="9" t="n">
        <v>74.0344</v>
      </c>
      <c r="E14" s="9" t="n">
        <f aca="false">(B14/$B$3)/D14</f>
        <v>171.520437775044</v>
      </c>
      <c r="F14" s="9" t="n">
        <f aca="false">F13+E14</f>
        <v>917.693767582403</v>
      </c>
      <c r="G14" s="8" t="n">
        <f aca="false">F14*D14*$B$3</f>
        <v>2140138.58520113</v>
      </c>
      <c r="H14" s="10" t="n">
        <f aca="false">G14/C14</f>
        <v>0.972790266000515</v>
      </c>
    </row>
    <row r="15" customFormat="false" ht="15" hidden="false" customHeight="false" outlineLevel="0" collapsed="false">
      <c r="A15" s="7" t="s">
        <v>19</v>
      </c>
      <c r="B15" s="8" t="n">
        <f aca="false">$B$5</f>
        <v>400000</v>
      </c>
      <c r="C15" s="8" t="n">
        <f aca="false">C14+B15</f>
        <v>2600000</v>
      </c>
      <c r="D15" s="9" t="n">
        <v>81.6047</v>
      </c>
      <c r="E15" s="9" t="n">
        <f aca="false">(B15/$B$3)/D15</f>
        <v>155.608839912563</v>
      </c>
      <c r="F15" s="9" t="n">
        <f aca="false">F14+E15</f>
        <v>1073.30260749497</v>
      </c>
      <c r="G15" s="8" t="n">
        <f aca="false">F15*D15*$B$3</f>
        <v>2758975.9247561</v>
      </c>
      <c r="H15" s="10" t="n">
        <f aca="false">G15/C15</f>
        <v>1.06114458644465</v>
      </c>
    </row>
    <row r="16" customFormat="false" ht="15" hidden="false" customHeight="false" outlineLevel="0" collapsed="false">
      <c r="A16" s="7" t="s">
        <v>20</v>
      </c>
      <c r="B16" s="8" t="n">
        <f aca="false">$B$5</f>
        <v>400000</v>
      </c>
      <c r="C16" s="8" t="n">
        <f aca="false">C15+B16</f>
        <v>3000000</v>
      </c>
      <c r="D16" s="9" t="n">
        <v>87.4619</v>
      </c>
      <c r="E16" s="9" t="n">
        <f aca="false">(B16/$B$3)/D16</f>
        <v>145.187935528644</v>
      </c>
      <c r="F16" s="9" t="n">
        <f aca="false">F15+E16</f>
        <v>1218.49054302361</v>
      </c>
      <c r="G16" s="8" t="n">
        <f aca="false">F16*D16*$B$3</f>
        <v>3357002.18778361</v>
      </c>
      <c r="H16" s="10" t="n">
        <f aca="false">G16/C16</f>
        <v>1.11900072926121</v>
      </c>
    </row>
    <row r="17" customFormat="false" ht="15" hidden="false" customHeight="false" outlineLevel="0" collapsed="false">
      <c r="A17" s="7" t="s">
        <v>21</v>
      </c>
      <c r="B17" s="8" t="n">
        <f aca="false">$B$5</f>
        <v>400000</v>
      </c>
      <c r="C17" s="8" t="n">
        <f aca="false">C16+B17</f>
        <v>3400000</v>
      </c>
      <c r="D17" s="9" t="n">
        <v>99.3934</v>
      </c>
      <c r="E17" s="9" t="n">
        <f aca="false">(B17/$B$3)/D17</f>
        <v>127.759113768245</v>
      </c>
      <c r="F17" s="9" t="n">
        <f aca="false">F16+E17</f>
        <v>1346.24965679186</v>
      </c>
      <c r="G17" s="8" t="n">
        <f aca="false">F17*D17*$B$3</f>
        <v>4214962.41507733</v>
      </c>
      <c r="H17" s="10" t="n">
        <f aca="false">G17/C17</f>
        <v>1.23969482796392</v>
      </c>
    </row>
    <row r="18" customFormat="false" ht="15" hidden="false" customHeight="false" outlineLevel="0" collapsed="false">
      <c r="A18" s="7" t="s">
        <v>22</v>
      </c>
      <c r="B18" s="8" t="n">
        <f aca="false">$B$5</f>
        <v>400000</v>
      </c>
      <c r="C18" s="8" t="n">
        <f aca="false">C17+B18</f>
        <v>3800000</v>
      </c>
      <c r="D18" s="9" t="n">
        <v>103.777</v>
      </c>
      <c r="E18" s="9" t="n">
        <f aca="false">(B18/$B$3)/D18</f>
        <v>122.362495528033</v>
      </c>
      <c r="F18" s="9" t="n">
        <f aca="false">F17+E18</f>
        <v>1468.61215231989</v>
      </c>
      <c r="G18" s="8" t="n">
        <f aca="false">F18*D18*$B$3</f>
        <v>4800857.14493598</v>
      </c>
      <c r="H18" s="10" t="n">
        <f aca="false">G18/C18</f>
        <v>1.26338345919368</v>
      </c>
    </row>
    <row r="19" customFormat="false" ht="15" hidden="false" customHeight="false" outlineLevel="0" collapsed="false">
      <c r="A19" s="7" t="s">
        <v>23</v>
      </c>
      <c r="B19" s="8" t="n">
        <f aca="false">$B$5</f>
        <v>400000</v>
      </c>
      <c r="C19" s="8" t="n">
        <f aca="false">C18+B19</f>
        <v>4200000</v>
      </c>
      <c r="D19" s="9" t="n">
        <v>68.1659</v>
      </c>
      <c r="E19" s="9" t="n">
        <f aca="false">(B19/$B$3)/D19</f>
        <v>186.286878019841</v>
      </c>
      <c r="F19" s="9" t="n">
        <f aca="false">F18+E19</f>
        <v>1654.89903033973</v>
      </c>
      <c r="G19" s="8" t="n">
        <f aca="false">F19*D19*$B$3</f>
        <v>3553441.9770854</v>
      </c>
      <c r="H19" s="10" t="n">
        <f aca="false">G19/C19</f>
        <v>0.846057613591762</v>
      </c>
    </row>
    <row r="20" customFormat="false" ht="15" hidden="false" customHeight="false" outlineLevel="0" collapsed="false">
      <c r="A20" s="7" t="s">
        <v>24</v>
      </c>
      <c r="B20" s="8" t="n">
        <f aca="false">$B$5</f>
        <v>400000</v>
      </c>
      <c r="C20" s="8" t="n">
        <f aca="false">C19+B20</f>
        <v>4600000</v>
      </c>
      <c r="D20" s="9" t="n">
        <v>85.0266</v>
      </c>
      <c r="E20" s="9" t="n">
        <f aca="false">(B20/$B$3)/D20</f>
        <v>149.346353945856</v>
      </c>
      <c r="F20" s="9" t="n">
        <f aca="false">F19+E20</f>
        <v>1804.24538428559</v>
      </c>
      <c r="G20" s="8" t="n">
        <f aca="false">F20*D20*$B$3</f>
        <v>4832378.79363215</v>
      </c>
      <c r="H20" s="10" t="n">
        <f aca="false">G20/C20</f>
        <v>1.05051712905047</v>
      </c>
    </row>
    <row r="21" customFormat="false" ht="15" hidden="false" customHeight="false" outlineLevel="0" collapsed="false">
      <c r="A21" s="7" t="s">
        <v>25</v>
      </c>
      <c r="B21" s="8" t="n">
        <f aca="false">$B$5</f>
        <v>400000</v>
      </c>
      <c r="C21" s="8" t="n">
        <f aca="false">C20+B21</f>
        <v>5000000</v>
      </c>
      <c r="D21" s="9" t="n">
        <v>97.1914</v>
      </c>
      <c r="E21" s="9" t="n">
        <f aca="false">(B21/$B$3)/D21</f>
        <v>130.653665842993</v>
      </c>
      <c r="F21" s="9" t="n">
        <f aca="false">F20+E21</f>
        <v>1934.89905012858</v>
      </c>
      <c r="G21" s="8" t="n">
        <f aca="false">F21*D21*$B$3</f>
        <v>5923749.747531</v>
      </c>
      <c r="H21" s="10" t="n">
        <f aca="false">G21/C21</f>
        <v>1.1847499495062</v>
      </c>
    </row>
    <row r="22" customFormat="false" ht="15" hidden="false" customHeight="false" outlineLevel="0" collapsed="false">
      <c r="A22" s="7" t="s">
        <v>26</v>
      </c>
      <c r="B22" s="8" t="n">
        <f aca="false">$B$5</f>
        <v>400000</v>
      </c>
      <c r="C22" s="8" t="n">
        <f aca="false">C21+B22</f>
        <v>5400000</v>
      </c>
      <c r="D22" s="9" t="n">
        <v>99.578</v>
      </c>
      <c r="E22" s="9" t="n">
        <f aca="false">(B22/$B$3)/D22</f>
        <v>127.52227096761</v>
      </c>
      <c r="F22" s="9" t="n">
        <f aca="false">F21+E22</f>
        <v>2062.42132109619</v>
      </c>
      <c r="G22" s="8" t="n">
        <f aca="false">F22*D22*$B$3</f>
        <v>6469211.39483166</v>
      </c>
      <c r="H22" s="10" t="n">
        <f aca="false">G22/C22</f>
        <v>1.19800211015401</v>
      </c>
    </row>
    <row r="23" customFormat="false" ht="15" hidden="false" customHeight="false" outlineLevel="0" collapsed="false">
      <c r="A23" s="7" t="s">
        <v>27</v>
      </c>
      <c r="B23" s="8" t="n">
        <f aca="false">$B$5</f>
        <v>400000</v>
      </c>
      <c r="C23" s="8" t="n">
        <f aca="false">C22+B23</f>
        <v>5800000</v>
      </c>
      <c r="D23" s="9" t="n">
        <v>116.607</v>
      </c>
      <c r="E23" s="9" t="n">
        <f aca="false">(B23/$B$3)/D23</f>
        <v>108.899231593409</v>
      </c>
      <c r="F23" s="9" t="n">
        <f aca="false">F22+E23</f>
        <v>2171.3205526896</v>
      </c>
      <c r="G23" s="8" t="n">
        <f aca="false">F23*D23*$B$3</f>
        <v>7975522.03415549</v>
      </c>
      <c r="H23" s="10" t="n">
        <f aca="false">G23/C23</f>
        <v>1.37509000588888</v>
      </c>
    </row>
    <row r="24" customFormat="false" ht="15" hidden="false" customHeight="false" outlineLevel="0" collapsed="false">
      <c r="A24" s="7" t="s">
        <v>28</v>
      </c>
      <c r="B24" s="8" t="n">
        <f aca="false">$B$5</f>
        <v>400000</v>
      </c>
      <c r="C24" s="8" t="n">
        <f aca="false">C23+B24</f>
        <v>6200000</v>
      </c>
      <c r="D24" s="9" t="n">
        <v>148.984</v>
      </c>
      <c r="E24" s="9" t="n">
        <f aca="false">(B24/$B$3)/D24</f>
        <v>85.2333988778171</v>
      </c>
      <c r="F24" s="9" t="n">
        <f aca="false">F23+E24</f>
        <v>2256.55395156742</v>
      </c>
      <c r="G24" s="8" t="n">
        <f aca="false">F24*D24*$B$3</f>
        <v>10589998.6684901</v>
      </c>
      <c r="H24" s="10" t="n">
        <f aca="false">G24/C24</f>
        <v>1.70806430136937</v>
      </c>
    </row>
    <row r="25" customFormat="false" ht="15" hidden="false" customHeight="false" outlineLevel="0" collapsed="false">
      <c r="A25" s="7" t="s">
        <v>29</v>
      </c>
      <c r="B25" s="8" t="n">
        <f aca="false">$B$5</f>
        <v>400000</v>
      </c>
      <c r="C25" s="8" t="n">
        <f aca="false">C24+B25</f>
        <v>6600000</v>
      </c>
      <c r="D25" s="9" t="n">
        <v>170.587</v>
      </c>
      <c r="E25" s="9" t="n">
        <f aca="false">(B25/$B$3)/D25</f>
        <v>74.439510035423</v>
      </c>
      <c r="F25" s="9" t="n">
        <f aca="false">F24+E25</f>
        <v>2330.99346160284</v>
      </c>
      <c r="G25" s="8" t="n">
        <f aca="false">F25*D25*$B$3</f>
        <v>12525571.221485</v>
      </c>
      <c r="H25" s="10" t="n">
        <f aca="false">G25/C25</f>
        <v>1.89781382143712</v>
      </c>
    </row>
    <row r="26" customFormat="false" ht="15" hidden="false" customHeight="false" outlineLevel="0" collapsed="false">
      <c r="A26" s="7" t="s">
        <v>30</v>
      </c>
      <c r="B26" s="8" t="n">
        <f aca="false">$B$5</f>
        <v>400000</v>
      </c>
      <c r="C26" s="8" t="n">
        <f aca="false">C25+B26</f>
        <v>7000000</v>
      </c>
      <c r="D26" s="9" t="n">
        <v>170.369</v>
      </c>
      <c r="E26" s="9" t="n">
        <f aca="false">(B26/$B$3)/D26</f>
        <v>74.5347610094131</v>
      </c>
      <c r="F26" s="9" t="n">
        <f aca="false">F25+E26</f>
        <v>2405.52822261225</v>
      </c>
      <c r="G26" s="8" t="n">
        <f aca="false">F26*D26*$B$3</f>
        <v>12909564.2893841</v>
      </c>
      <c r="H26" s="10" t="n">
        <f aca="false">G26/C26</f>
        <v>1.84422346991202</v>
      </c>
    </row>
    <row r="27" customFormat="false" ht="15" hidden="false" customHeight="false" outlineLevel="0" collapsed="false">
      <c r="A27" s="7" t="s">
        <v>31</v>
      </c>
      <c r="B27" s="8" t="n">
        <f aca="false">$B$5</f>
        <v>400000</v>
      </c>
      <c r="C27" s="8" t="n">
        <f aca="false">C26+B27</f>
        <v>7400000</v>
      </c>
      <c r="D27" s="9" t="n">
        <v>194.996</v>
      </c>
      <c r="E27" s="9" t="n">
        <f aca="false">(B27/$B$3)/D27</f>
        <v>65.1214009436742</v>
      </c>
      <c r="F27" s="9" t="n">
        <f aca="false">F26+E27</f>
        <v>2470.64962355593</v>
      </c>
      <c r="G27" s="8" t="n">
        <f aca="false">F27*D27*$B$3</f>
        <v>15175654.0108397</v>
      </c>
      <c r="H27" s="10" t="n">
        <f aca="false">G27/C27</f>
        <v>2.05076405551888</v>
      </c>
    </row>
    <row r="28" customFormat="false" ht="15" hidden="false" customHeight="false" outlineLevel="0" collapsed="false">
      <c r="A28" s="7" t="s">
        <v>32</v>
      </c>
      <c r="B28" s="8" t="n">
        <f aca="false">$B$5</f>
        <v>400000</v>
      </c>
      <c r="C28" s="8" t="n">
        <f aca="false">C27+B28</f>
        <v>7800000</v>
      </c>
      <c r="D28" s="9" t="n">
        <v>237.204</v>
      </c>
      <c r="E28" s="9" t="n">
        <f aca="false">(B28/$B$3)/D28</f>
        <v>53.5337207568704</v>
      </c>
      <c r="F28" s="9" t="n">
        <f aca="false">F27+E28</f>
        <v>2524.1833443128</v>
      </c>
      <c r="G28" s="8" t="n">
        <f aca="false">F28*D28*$B$3</f>
        <v>18860511.1591377</v>
      </c>
      <c r="H28" s="10" t="n">
        <f aca="false">G28/C28</f>
        <v>2.4180142511715</v>
      </c>
    </row>
    <row r="29" customFormat="false" ht="15" hidden="false" customHeight="false" outlineLevel="0" collapsed="false">
      <c r="A29" s="7" t="s">
        <v>33</v>
      </c>
      <c r="B29" s="8" t="n">
        <f aca="false">$B$5</f>
        <v>400000</v>
      </c>
      <c r="C29" s="8" t="n">
        <f aca="false">C28+B29</f>
        <v>8200000</v>
      </c>
      <c r="D29" s="9" t="n">
        <v>224.992</v>
      </c>
      <c r="E29" s="9" t="n">
        <f aca="false">(B29/$B$3)/D29</f>
        <v>56.4393965048211</v>
      </c>
      <c r="F29" s="9" t="n">
        <f aca="false">F28+E29</f>
        <v>2580.62274081762</v>
      </c>
      <c r="G29" s="8" t="n">
        <f aca="false">F29*D29*$B$3</f>
        <v>18289513.3586142</v>
      </c>
      <c r="H29" s="10" t="n">
        <f aca="false">G29/C29</f>
        <v>2.23042845836758</v>
      </c>
    </row>
    <row r="30" customFormat="false" ht="15" hidden="false" customHeight="false" outlineLevel="0" collapsed="false">
      <c r="A30" s="7" t="s">
        <v>34</v>
      </c>
      <c r="B30" s="8" t="n">
        <f aca="false">$B$5</f>
        <v>400000</v>
      </c>
      <c r="C30" s="8" t="n">
        <f aca="false">C29+B30</f>
        <v>8600000</v>
      </c>
      <c r="D30" s="9" t="n">
        <v>297.694</v>
      </c>
      <c r="E30" s="9" t="n">
        <f aca="false">(B30/$B$3)/D30</f>
        <v>42.6559241987165</v>
      </c>
      <c r="F30" s="9" t="n">
        <f aca="false">F29+E30</f>
        <v>2623.27866501633</v>
      </c>
      <c r="G30" s="8" t="n">
        <f aca="false">F30*D30*$B$3</f>
        <v>24599431.0454562</v>
      </c>
      <c r="H30" s="10" t="n">
        <f aca="false">G30/C30</f>
        <v>2.86039895877398</v>
      </c>
    </row>
    <row r="31" customFormat="false" ht="15" hidden="false" customHeight="false" outlineLevel="0" collapsed="false">
      <c r="A31" s="7" t="s">
        <v>35</v>
      </c>
      <c r="B31" s="8" t="n">
        <f aca="false">$B$5</f>
        <v>400000</v>
      </c>
      <c r="C31" s="8" t="n">
        <f aca="false">C30+B31</f>
        <v>9000000</v>
      </c>
      <c r="D31" s="9" t="n">
        <v>344.251</v>
      </c>
      <c r="E31" s="9" t="n">
        <f aca="false">(B31/$B$3)/D31</f>
        <v>36.8870757046826</v>
      </c>
      <c r="F31" s="9" t="n">
        <f aca="false">F30+E31</f>
        <v>2660.16574072102</v>
      </c>
      <c r="G31" s="8" t="n">
        <f aca="false">F31*D31*$B$3</f>
        <v>28846588.5668819</v>
      </c>
      <c r="H31" s="10" t="n">
        <f aca="false">G31/C31</f>
        <v>3.20517650743133</v>
      </c>
    </row>
    <row r="32" customFormat="false" ht="15" hidden="false" customHeight="false" outlineLevel="0" collapsed="false">
      <c r="A32" s="7" t="s">
        <v>36</v>
      </c>
      <c r="B32" s="8" t="n">
        <f aca="false">$B$5</f>
        <v>400000</v>
      </c>
      <c r="C32" s="8" t="n">
        <f aca="false">C31+B32</f>
        <v>9400000</v>
      </c>
      <c r="D32" s="9" t="n">
        <v>451.868</v>
      </c>
      <c r="E32" s="9" t="n">
        <f aca="false">(B32/$B$3)/D32</f>
        <v>28.1020401940671</v>
      </c>
      <c r="F32" s="9" t="n">
        <f aca="false">F31+E32</f>
        <v>2688.26778091508</v>
      </c>
      <c r="G32" s="8" t="n">
        <f aca="false">F32*D32*$B$3</f>
        <v>38264378.8472359</v>
      </c>
      <c r="H32" s="10" t="n">
        <f aca="false">G32/C32</f>
        <v>4.07067860076978</v>
      </c>
    </row>
    <row r="33" customFormat="false" ht="15" hidden="false" customHeight="false" outlineLevel="0" collapsed="false">
      <c r="A33" s="7" t="s">
        <v>37</v>
      </c>
      <c r="B33" s="8" t="n">
        <f aca="false">$B$5</f>
        <v>400000</v>
      </c>
      <c r="C33" s="8" t="n">
        <f aca="false">C32+B33</f>
        <v>9800000</v>
      </c>
      <c r="D33" s="9" t="n">
        <v>366.063</v>
      </c>
      <c r="E33" s="9" t="n">
        <f aca="false">(B33/$B$3)/D33</f>
        <v>34.6891455798939</v>
      </c>
      <c r="F33" s="9" t="n">
        <f aca="false">F32+E33</f>
        <v>2722.95692649498</v>
      </c>
      <c r="G33" s="8" t="n">
        <f aca="false">F33*D33*$B$3</f>
        <v>31398374.1135812</v>
      </c>
      <c r="H33" s="10" t="n">
        <f aca="false">G33/C33</f>
        <v>3.20391572587564</v>
      </c>
    </row>
    <row r="34" customFormat="false" ht="15" hidden="false" customHeight="false" outlineLevel="0" collapsed="false">
      <c r="A34" s="7" t="s">
        <v>38</v>
      </c>
      <c r="B34" s="8" t="n">
        <f aca="false">$B$5</f>
        <v>400000</v>
      </c>
      <c r="C34" s="8" t="n">
        <f aca="false">C33+B34</f>
        <v>10200000</v>
      </c>
      <c r="D34" s="9" t="n">
        <v>461.24</v>
      </c>
      <c r="E34" s="9" t="n">
        <f aca="false">(B34/$B$3)/D34</f>
        <v>27.5310309132181</v>
      </c>
      <c r="F34" s="9" t="n">
        <f aca="false">F33+E34</f>
        <v>2750.4879574082</v>
      </c>
      <c r="G34" s="8" t="n">
        <f aca="false">F34*D34*$B$3</f>
        <v>39962004.5624611</v>
      </c>
      <c r="H34" s="10" t="n">
        <f aca="false">G34/C34</f>
        <v>3.91784358455501</v>
      </c>
    </row>
    <row r="35" customFormat="false" ht="15" hidden="false" customHeight="false" outlineLevel="0" collapsed="false">
      <c r="A35" s="7" t="s">
        <v>39</v>
      </c>
      <c r="B35" s="8" t="n">
        <f aca="false">$B$5</f>
        <v>400000</v>
      </c>
      <c r="C35" s="8" t="n">
        <f aca="false">C34+B35</f>
        <v>10600000</v>
      </c>
      <c r="D35" s="9" t="n">
        <v>577.845</v>
      </c>
      <c r="E35" s="9" t="n">
        <f aca="false">(B35/$B$3)/D35</f>
        <v>21.975465217165</v>
      </c>
      <c r="F35" s="9" t="n">
        <f aca="false">F34+E35</f>
        <v>2772.46342262536</v>
      </c>
      <c r="G35" s="8" t="n">
        <f aca="false">F35*D35*$B$3</f>
        <v>50464704.983079</v>
      </c>
      <c r="H35" s="10" t="n">
        <f aca="false">G35/C35</f>
        <v>4.76082122481877</v>
      </c>
    </row>
    <row r="36" customFormat="false" ht="15" hidden="false" customHeight="false" outlineLevel="0" collapsed="false">
      <c r="A36" s="7" t="s">
        <v>40</v>
      </c>
      <c r="B36" s="8" t="n">
        <f aca="false">$B$5</f>
        <v>400000</v>
      </c>
      <c r="C36" s="8" t="n">
        <f aca="false">C35+B36</f>
        <v>11000000</v>
      </c>
      <c r="D36" s="9" t="n">
        <v>683.17</v>
      </c>
      <c r="E36" s="9" t="n">
        <f aca="false">(B36/$B$3)/D36</f>
        <v>18.5874858357549</v>
      </c>
      <c r="F36" s="9" t="n">
        <f aca="false">F35+E36</f>
        <v>2791.05090846112</v>
      </c>
      <c r="G36" s="8" t="n">
        <f aca="false">F36*D36*$B$3</f>
        <v>60063010.8477015</v>
      </c>
      <c r="H36" s="10" t="n">
        <f aca="false">G36/C36</f>
        <v>5.46027371342741</v>
      </c>
    </row>
    <row r="37" customFormat="false" ht="15" hidden="false" customHeight="false" outlineLevel="0" collapsed="false">
      <c r="A37" s="11" t="s">
        <v>41</v>
      </c>
      <c r="B37" s="12" t="s">
        <v>42</v>
      </c>
      <c r="C37" s="13" t="n">
        <f aca="false">C36</f>
        <v>11000000</v>
      </c>
      <c r="D37" s="14" t="n">
        <f aca="false">$B$6</f>
        <v>770.9</v>
      </c>
      <c r="E37" s="15" t="s">
        <v>42</v>
      </c>
      <c r="F37" s="14" t="n">
        <f aca="false">F36</f>
        <v>2791.05090846112</v>
      </c>
      <c r="G37" s="13" t="n">
        <f aca="false">F37*D37*$B$3</f>
        <v>67776066.0779792</v>
      </c>
      <c r="H37" s="16" t="n">
        <f aca="false">G37/C37</f>
        <v>6.16146055254357</v>
      </c>
    </row>
  </sheetData>
  <mergeCells count="2">
    <mergeCell ref="A1:H1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2026-09-01T01:17:37Z</dcterms:created>
  <dc:creator>openpyxl</dc:creator>
  <dc:description/>
  <dc:language>en-US</dc:language>
  <cp:lastModifiedBy/>
  <dcterms:modified xsi:type="dcterms:W3CDTF">2026-09-01T01:17:46Z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